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Build List" sheetId="1" state="visible" r:id="rId3"/>
    <sheet name="Site Structure" sheetId="2" state="visible" r:id="rId4"/>
    <sheet name="Target Markets" sheetId="3" state="visible" r:id="rId5"/>
  </sheets>
  <definedNames>
    <definedName function="false" hidden="true" localSheetId="0" name="_xlnm._FilterDatabase" vbProcedure="false">'Page Build List'!$A$5:$G$38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<sst xmlns="http://schemas.openxmlformats.org/spreadsheetml/2006/main" count="288" uniqueCount="195">
  <si>
    <t xml:space="preserve">SIGHTLINE TRAFFIC ENGINEERS</t>
  </si>
  <si>
    <t xml:space="preserve">Website Build List — pages in order</t>
  </si>
  <si>
    <t xml:space="preserve">Page wording comes from Website Copy Rev 3. Used as written — only the position in the site changes.</t>
  </si>
  <si>
    <t xml:space="preserve">#</t>
  </si>
  <si>
    <t xml:space="preserve">Section</t>
  </si>
  <si>
    <t xml:space="preserve">Page</t>
  </si>
  <si>
    <t xml:space="preserve">URL</t>
  </si>
  <si>
    <t xml:space="preserve">Copy source</t>
  </si>
  <si>
    <t xml:space="preserve">Status</t>
  </si>
  <si>
    <t xml:space="preserve">Build notes</t>
  </si>
  <si>
    <t xml:space="preserve">Work Zone Engineering</t>
  </si>
  <si>
    <t xml:space="preserve">Traffic Guidance Schemes (TGS / TCP)</t>
  </si>
  <si>
    <t xml:space="preserve">/tgs-traffic-control-plans</t>
  </si>
  <si>
    <t xml:space="preserve">Division 1</t>
  </si>
  <si>
    <t xml:space="preserve">Ready to build</t>
  </si>
  <si>
    <t xml:space="preserve">Highest-traffic page on the site. Keep the full FAQ set.</t>
  </si>
  <si>
    <t xml:space="preserve">Traffic Staging Plans &amp; CAD Staging Sets</t>
  </si>
  <si>
    <t xml:space="preserve">/traffic-staging-plans</t>
  </si>
  <si>
    <t xml:space="preserve">Division 1 + Division 2</t>
  </si>
  <si>
    <t xml:space="preserve">Merge two sources</t>
  </si>
  <si>
    <t xml:space="preserve">Combine Div 1 'TGS Staging' with Div 2 'CAD Road Designs &amp; Traffic Staging Plans'.</t>
  </si>
  <si>
    <t xml:space="preserve">Traffic Management Plans (TMP / CTMP)</t>
  </si>
  <si>
    <t xml:space="preserve">/traffic-management-plans</t>
  </si>
  <si>
    <t xml:space="preserve">Link through to Complex &amp; Multi-Stage TMPs.</t>
  </si>
  <si>
    <t xml:space="preserve">Complex &amp; Multi-Stage TMPs</t>
  </si>
  <si>
    <t xml:space="preserve">/complex-multi-stage-tmp</t>
  </si>
  <si>
    <t xml:space="preserve">Division 2</t>
  </si>
  <si>
    <t xml:space="preserve">Temporary Barrier Design &amp; Cross Sections</t>
  </si>
  <si>
    <t xml:space="preserve">/temporary-barrier-design</t>
  </si>
  <si>
    <t xml:space="preserve">Feature this page from the homepage 'Why Sightline' section.</t>
  </si>
  <si>
    <t xml:space="preserve">Swept Path Analysis (Vehicle Tracking)</t>
  </si>
  <si>
    <t xml:space="preserve">/swept-path-analysis</t>
  </si>
  <si>
    <t xml:space="preserve">Only page that explains swept path. Pages 2 and 19 link here instead of repeating it.</t>
  </si>
  <si>
    <t xml:space="preserve">Site Audits</t>
  </si>
  <si>
    <t xml:space="preserve">/site-audits</t>
  </si>
  <si>
    <t xml:space="preserve">Road Safety Audits (RSA)</t>
  </si>
  <si>
    <t xml:space="preserve">/road-safety-audits</t>
  </si>
  <si>
    <t xml:space="preserve">—</t>
  </si>
  <si>
    <t xml:space="preserve">Awaiting copy</t>
  </si>
  <si>
    <t xml:space="preserve">Placeholder in nav only. Do not build until copy is supplied.</t>
  </si>
  <si>
    <t xml:space="preserve">Transport &amp; Network Engineering</t>
  </si>
  <si>
    <t xml:space="preserve">Traffic Modelling (SIDRA / Aimsun)</t>
  </si>
  <si>
    <t xml:space="preserve">/traffic-modelling</t>
  </si>
  <si>
    <t xml:space="preserve">SIDRA Intersection Capacity Analysis</t>
  </si>
  <si>
    <t xml:space="preserve">/sidra-intersection-analysis</t>
  </si>
  <si>
    <t xml:space="preserve">Keep the metrics and benchmark table as a styled table.</t>
  </si>
  <si>
    <t xml:space="preserve">Traffic Impact Assessment (TIA)</t>
  </si>
  <si>
    <t xml:space="preserve">/traffic-impact-assessment</t>
  </si>
  <si>
    <t xml:space="preserve">Division 3</t>
  </si>
  <si>
    <t xml:space="preserve">Copy unchanged — the page just sits in this section now, not under Parking.</t>
  </si>
  <si>
    <t xml:space="preserve">Traffic Data Collection &amp; Analysis</t>
  </si>
  <si>
    <t xml:space="preserve">/traffic-data-collection</t>
  </si>
  <si>
    <t xml:space="preserve">Placeholder in nav only.</t>
  </si>
  <si>
    <t xml:space="preserve">Road Design &amp; CAD Documentation</t>
  </si>
  <si>
    <t xml:space="preserve">/road-design-cad</t>
  </si>
  <si>
    <t xml:space="preserve">Division 2 (part)</t>
  </si>
  <si>
    <t xml:space="preserve">Split from existing page</t>
  </si>
  <si>
    <t xml:space="preserve">Separate out once page 2 above is merged. Build last.</t>
  </si>
  <si>
    <t xml:space="preserve">Development &amp; Parking Engineering</t>
  </si>
  <si>
    <t xml:space="preserve">Traffic Impact Statement (TIS)</t>
  </si>
  <si>
    <t xml:space="preserve">/traffic-impact-statement</t>
  </si>
  <si>
    <t xml:space="preserve">Carpark Demand Assessment</t>
  </si>
  <si>
    <t xml:space="preserve">/carpark-demand-assessment</t>
  </si>
  <si>
    <t xml:space="preserve">Keep the three-tier methodology as a numbered list.</t>
  </si>
  <si>
    <t xml:space="preserve">Parking &amp; AS 2890 Compliance</t>
  </si>
  <si>
    <t xml:space="preserve">/as2890-parking-compliance</t>
  </si>
  <si>
    <t xml:space="preserve">Fold the Parking Certificate offering into this page. Keep the requirements table.</t>
  </si>
  <si>
    <t xml:space="preserve">Driveway Design</t>
  </si>
  <si>
    <t xml:space="preserve">/driveway-design</t>
  </si>
  <si>
    <t xml:space="preserve">Pedestrian Sight Line Assessment</t>
  </si>
  <si>
    <t xml:space="preserve">/sight-line-assessment</t>
  </si>
  <si>
    <t xml:space="preserve">Vehicle Access Assessment</t>
  </si>
  <si>
    <t xml:space="preserve">/vehicle-access-assessment</t>
  </si>
  <si>
    <t xml:space="preserve">Link to page 6 rather than repeating swept path detail. Keep the AS 2890.2 table.</t>
  </si>
  <si>
    <t xml:space="preserve">Parking &amp; Traffic Surveys</t>
  </si>
  <si>
    <t xml:space="preserve">/parking-traffic-surveys</t>
  </si>
  <si>
    <t xml:space="preserve">Operational Traffic &amp; Parking Management Plans</t>
  </si>
  <si>
    <t xml:space="preserve">/operational-traffic-parking-plans</t>
  </si>
  <si>
    <t xml:space="preserve">Confirm with Saadat whether this page is going ahead at all.</t>
  </si>
  <si>
    <t xml:space="preserve">Approvals &amp; Delivery Support</t>
  </si>
  <si>
    <t xml:space="preserve">TMC Road Occupancy Licence (ROL)</t>
  </si>
  <si>
    <t xml:space="preserve">/road-occupancy-licence</t>
  </si>
  <si>
    <t xml:space="preserve">High-traffic page. Keep in full despite the section sitting lower in the nav.</t>
  </si>
  <si>
    <t xml:space="preserve">Council Permits &amp; Applications</t>
  </si>
  <si>
    <t xml:space="preserve">/council-permits</t>
  </si>
  <si>
    <t xml:space="preserve">Keep the complete permit-type list — do not shorten it.</t>
  </si>
  <si>
    <t xml:space="preserve">STA, Police &amp; Emergency Services Approvals</t>
  </si>
  <si>
    <t xml:space="preserve">/sta-police-approvals</t>
  </si>
  <si>
    <t xml:space="preserve">Community Engagement &amp; CLO</t>
  </si>
  <si>
    <t xml:space="preserve">/community-engagement</t>
  </si>
  <si>
    <t xml:space="preserve">26a</t>
  </si>
  <si>
    <t xml:space="preserve">Sectors</t>
  </si>
  <si>
    <t xml:space="preserve">Civil Contractors</t>
  </si>
  <si>
    <t xml:space="preserve">/sectors/civil-contractors</t>
  </si>
  <si>
    <t xml:space="preserve">Website Copy Rev 3</t>
  </si>
  <si>
    <t xml:space="preserve">Routes to pages 02, 03, 04, 05, 07, 22.</t>
  </si>
  <si>
    <t xml:space="preserve">26b</t>
  </si>
  <si>
    <t xml:space="preserve">Developers &amp; Architects</t>
  </si>
  <si>
    <t xml:space="preserve">/sectors/developers-architects</t>
  </si>
  <si>
    <t xml:space="preserve">Routes to pages 11, 14, 15, 16, 17, 18, 19.</t>
  </si>
  <si>
    <t xml:space="preserve">26c</t>
  </si>
  <si>
    <t xml:space="preserve">Government &amp; Council</t>
  </si>
  <si>
    <t xml:space="preserve">/sectors/government-council</t>
  </si>
  <si>
    <t xml:space="preserve">Routes to pages 02, 07, 08, 09, 10. Independence is the angle.</t>
  </si>
  <si>
    <t xml:space="preserve">26d</t>
  </si>
  <si>
    <t xml:space="preserve">Utilities</t>
  </si>
  <si>
    <t xml:space="preserve">/sectors/utilities</t>
  </si>
  <si>
    <t xml:space="preserve">Routes to pages 01, 03, 22, 23. Volume and turnaround is the angle.</t>
  </si>
  <si>
    <t xml:space="preserve">26e</t>
  </si>
  <si>
    <t xml:space="preserve">Events</t>
  </si>
  <si>
    <t xml:space="preserve">/sectors/events</t>
  </si>
  <si>
    <t xml:space="preserve">Routes to pages 03, 23, 24, 25.</t>
  </si>
  <si>
    <t xml:space="preserve">Other pages</t>
  </si>
  <si>
    <t xml:space="preserve">Projects</t>
  </si>
  <si>
    <t xml:space="preserve">/projects</t>
  </si>
  <si>
    <t xml:space="preserve">New</t>
  </si>
  <si>
    <t xml:space="preserve">Template only</t>
  </si>
  <si>
    <t xml:space="preserve">Build the case-study template now, content to follow.</t>
  </si>
  <si>
    <t xml:space="preserve">About</t>
  </si>
  <si>
    <t xml:space="preserve">/about</t>
  </si>
  <si>
    <t xml:space="preserve">Named engineers with qualifications listed.</t>
  </si>
  <si>
    <t xml:space="preserve">Contact</t>
  </si>
  <si>
    <t xml:space="preserve">/contact</t>
  </si>
  <si>
    <t xml:space="preserve">Form: name, company, project address, works description, file upload for plans.</t>
  </si>
  <si>
    <t xml:space="preserve">SUMMARY</t>
  </si>
  <si>
    <t xml:space="preserve">Pages ready to build now</t>
  </si>
  <si>
    <t xml:space="preserve">Pages needing copy first</t>
  </si>
  <si>
    <t xml:space="preserve">Pages requiring a merge or split</t>
  </si>
  <si>
    <t xml:space="preserve">Total pages</t>
  </si>
  <si>
    <t xml:space="preserve">STATUS KEY</t>
  </si>
  <si>
    <t xml:space="preserve">Copy exists in the content pack and needs no changes. Build it as written.</t>
  </si>
  <si>
    <t xml:space="preserve">Two existing write-ups combine into one page.</t>
  </si>
  <si>
    <t xml:space="preserve">Content sits inside another page and needs separating out.</t>
  </si>
  <si>
    <t xml:space="preserve">No copy yet. Add to the navigation as a placeholder; do not publish.</t>
  </si>
  <si>
    <t xml:space="preserve">Build the page template; content follows later.</t>
  </si>
  <si>
    <t xml:space="preserve">Navigation structure, in order</t>
  </si>
  <si>
    <t xml:space="preserve">Main nav: Home / Engineering Services / Approvals / Sectors / Projects / About / Contact</t>
  </si>
  <si>
    <t xml:space="preserve">HOME</t>
  </si>
  <si>
    <t xml:space="preserve">Seven sections in order — see the build brief for the copy</t>
  </si>
  <si>
    <t xml:space="preserve">ENGINEERING SERVICES</t>
  </si>
  <si>
    <t xml:space="preserve">Dropdown containing the three practices below</t>
  </si>
  <si>
    <t xml:space="preserve">Merge of two existing write-ups</t>
  </si>
  <si>
    <t xml:space="preserve">Only page that explains swept path</t>
  </si>
  <si>
    <t xml:space="preserve">Sits here now, not under Parking</t>
  </si>
  <si>
    <t xml:space="preserve">Build last</t>
  </si>
  <si>
    <t xml:space="preserve">Parking Certificate folded in here</t>
  </si>
  <si>
    <t xml:space="preserve">Awaiting copy — confirm if proceeding</t>
  </si>
  <si>
    <t xml:space="preserve">APPROVALS &amp; DELIVERY SUPPORT</t>
  </si>
  <si>
    <t xml:space="preserve">Own section, after Engineering Services</t>
  </si>
  <si>
    <t xml:space="preserve">Keep in full — high search traffic</t>
  </si>
  <si>
    <t xml:space="preserve">Keep the full permit-type list</t>
  </si>
  <si>
    <t xml:space="preserve">SECTORS</t>
  </si>
  <si>
    <t xml:space="preserve">Five pages — copy written in Rev 3</t>
  </si>
  <si>
    <t xml:space="preserve">Programme slippage is the angle</t>
  </si>
  <si>
    <t xml:space="preserve">Stalled DA is the angle</t>
  </si>
  <si>
    <t xml:space="preserve">Independent, defensible assessment is the angle</t>
  </si>
  <si>
    <t xml:space="preserve">Volume and short notice is the angle</t>
  </si>
  <si>
    <t xml:space="preserve">Closures plus police and community approvals</t>
  </si>
  <si>
    <t xml:space="preserve">PROJECTS</t>
  </si>
  <si>
    <t xml:space="preserve">Template now, content later</t>
  </si>
  <si>
    <t xml:space="preserve">ABOUT</t>
  </si>
  <si>
    <t xml:space="preserve">The engineers, their credentials, the standards we work to</t>
  </si>
  <si>
    <t xml:space="preserve">CONTACT</t>
  </si>
  <si>
    <t xml:space="preserve">Enquiry form with plan upload</t>
  </si>
  <si>
    <t xml:space="preserve">Who the site is written for</t>
  </si>
  <si>
    <t xml:space="preserve">Four markets, weighted evenly. The homepage stays neutral; the sector pages carry the targeting.</t>
  </si>
  <si>
    <t xml:space="preserve">Market</t>
  </si>
  <si>
    <t xml:space="preserve">Who we're talking to</t>
  </si>
  <si>
    <t xml:space="preserve">What keeps them up at night</t>
  </si>
  <si>
    <t xml:space="preserve">Pages they need</t>
  </si>
  <si>
    <t xml:space="preserve">Civil contractors (tier 2-3)</t>
  </si>
  <si>
    <t xml:space="preserve">Project managers, site engineers, contract administrators</t>
  </si>
  <si>
    <t xml:space="preserve">Programme slippage. Staging that changes weekly, ROLs holding up a start date, a barrier design knocked back, a client walking the site tomorrow.</t>
  </si>
  <si>
    <t xml:space="preserve">02, 03, 04, 05, 07, 22</t>
  </si>
  <si>
    <t xml:space="preserve">Developers &amp; architects</t>
  </si>
  <si>
    <t xml:space="preserve">Developers, architects, planning consultants</t>
  </si>
  <si>
    <t xml:space="preserve">A stalled DA. Council asking for a traffic report, a parking shortfall, a driveway gradient that won't work on a sloped site.</t>
  </si>
  <si>
    <t xml:space="preserve">11, 14, 15, 16, 17, 18, 19</t>
  </si>
  <si>
    <t xml:space="preserve">Government &amp; council</t>
  </si>
  <si>
    <t xml:space="preserve">Council engineers, road authority project managers, procurement</t>
  </si>
  <si>
    <t xml:space="preserve">Defensibility. Needing an independent check and evidence that will stand up if a decision is questioned later.</t>
  </si>
  <si>
    <t xml:space="preserve">07, 08, 09, 10, 02</t>
  </si>
  <si>
    <t xml:space="preserve">Utilities &amp; events</t>
  </si>
  <si>
    <t xml:space="preserve">Utility contractors and asset owners; event organisers and councils</t>
  </si>
  <si>
    <t xml:space="preserve">Volume and short notice. Many small jobs at once, emergency works, or a one-off closure with police and community sign-off attached.</t>
  </si>
  <si>
    <t xml:space="preserve">01, 03, 22, 23, 24, 25</t>
  </si>
  <si>
    <t xml:space="preserve">WRITING RULES</t>
  </si>
  <si>
    <t xml:space="preserve">Name the problem, not the service</t>
  </si>
  <si>
    <t xml:space="preserve">'Council asked for a traffic report' lands. 'We provide Traffic Impact Statements' does not.</t>
  </si>
  <si>
    <t xml:space="preserve">Don't rewrite service pages per sector</t>
  </si>
  <si>
    <t xml:space="preserve">Service pages stay as written and serve all four markets. Only sector pages change voice.</t>
  </si>
  <si>
    <t xml:space="preserve">End every sector page in a route</t>
  </si>
  <si>
    <t xml:space="preserve">Three to five links to the specific service pages that buyer needs.</t>
  </si>
  <si>
    <t xml:space="preserve">Keep the homepage neutral</t>
  </si>
  <si>
    <t xml:space="preserve">Even weighting means no single market's language can lead. Sector pages do the targeting.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</si>
</sst>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E3B2F"/>
      <name val="Arial"/>
      <family val="0"/>
      <charset val="1"/>
    </font>
    <font>
      <b val="true"/>
      <sz val="14"/>
      <color rgb="FF1E3B2F"/>
      <name val="Arial"/>
      <family val="0"/>
      <charset val="1"/>
    </font>
    <font>
      <i val="true"/>
      <sz val="9.5"/>
      <color rgb="FF7C7C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B08D57"/>
      <name val="Arial"/>
      <family val="0"/>
      <charset val="1"/>
    </font>
    <font>
      <b val="true"/>
      <sz val="9.5"/>
      <color rgb="FF1E3B2F"/>
      <name val="Arial"/>
      <family val="0"/>
      <charset val="1"/>
    </font>
    <font>
      <b val="true"/>
      <sz val="9.5"/>
      <color rgb="FF26261F"/>
      <name val="Arial"/>
      <family val="0"/>
      <charset val="1"/>
    </font>
    <font>
      <sz val="9"/>
      <color rgb="FF1E3B2F"/>
      <name val="Consolas"/>
      <family val="0"/>
      <charset val="1"/>
    </font>
    <font>
      <sz val="9.5"/>
      <color rgb="FF26261F"/>
      <name val="Arial"/>
      <family val="0"/>
      <charset val="1"/>
    </font>
    <font>
      <b val="true"/>
      <sz val="9.5"/>
      <color rgb="FF9A3412"/>
      <name val="Arial"/>
      <family val="0"/>
      <charset val="1"/>
    </font>
    <font>
      <b val="true"/>
      <sz val="9"/>
      <color rgb="FF1E3B2F"/>
      <name val="Arial"/>
      <family val="0"/>
      <charset val="1"/>
    </font>
    <font>
      <b val="true"/>
      <sz val="9"/>
      <color rgb="FFB08D57"/>
      <name val="Arial"/>
      <family val="0"/>
      <charset val="1"/>
    </font>
    <font>
      <sz val="9"/>
      <color rgb="FF7C7C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B08D57"/>
      <name val="Arial"/>
      <family val="0"/>
      <charset val="1"/>
    </font>
    <font>
      <b val="true"/>
      <sz val="10"/>
      <color rgb="FF1E3B2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B2F"/>
        <bgColor rgb="FF26261F"/>
      </patternFill>
    </fill>
    <fill>
      <patternFill patternType="solid">
        <fgColor rgb="FFFBFAF6"/>
        <bgColor rgb="FFFFFFFF"/>
      </patternFill>
    </fill>
    <fill>
      <patternFill patternType="solid">
        <fgColor rgb="FFF4F2EC"/>
        <bgColor rgb="FFFBF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3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3B2F"/>
          <bgColor rgb="FF000000"/>
        </patternFill>
      </fill>
    </dxf>
    <dxf>
      <fill>
        <patternFill patternType="solid">
          <fgColor rgb="FFFBF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08D5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261F"/>
          <bgColor rgb="FF000000"/>
        </patternFill>
      </fill>
    </dxf>
    <dxf>
      <fill>
        <patternFill patternType="solid">
          <fgColor rgb="FF9A341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2"/>
      <rgbColor rgb="FF9999FF"/>
      <rgbColor rgb="FF993366"/>
      <rgbColor rgb="FFFBFAF6"/>
      <rgbColor rgb="FFF4F2EC"/>
      <rgbColor rgb="FF660066"/>
      <rgbColor rgb="FFFF8080"/>
      <rgbColor rgb="FF0066CC"/>
      <rgbColor rgb="FFD9D5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8D57"/>
      <rgbColor rgb="FF003366"/>
      <rgbColor rgb="FF339966"/>
      <rgbColor rgb="FF003300"/>
      <rgbColor rgb="FF26261F"/>
      <rgbColor rgb="FF9A3412"/>
      <rgbColor rgb="FF993366"/>
      <rgbColor rgb="FF333399"/>
      <rgbColor rgb="FF1E3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1</v>
      </c>
      <c r="B6" s="6" t="s">
        <v>10</v>
      </c>
      <c r="C6" s="7" t="s">
        <v>11</v>
      </c>
      <c r="D6" s="8" t="s">
        <v>12</v>
      </c>
      <c r="E6" s="9" t="s">
        <v>13</v>
      </c>
      <c r="F6" s="10" t="s">
        <v>14</v>
      </c>
      <c r="G6" s="11" t="s">
        <v>15</v>
      </c>
    </row>
    <row r="7" customFormat="false" ht="23.85" hidden="false" customHeight="false" outlineLevel="0" collapsed="false">
      <c r="A7" s="12" t="n">
        <v>2</v>
      </c>
      <c r="B7" s="13"/>
      <c r="C7" s="14" t="s">
        <v>16</v>
      </c>
      <c r="D7" s="15" t="s">
        <v>17</v>
      </c>
      <c r="E7" s="16" t="s">
        <v>18</v>
      </c>
      <c r="F7" s="12" t="s">
        <v>19</v>
      </c>
      <c r="G7" s="17" t="s">
        <v>20</v>
      </c>
    </row>
    <row r="8" customFormat="false" ht="15" hidden="false" customHeight="false" outlineLevel="0" collapsed="false">
      <c r="A8" s="5" t="n">
        <v>3</v>
      </c>
      <c r="B8" s="6"/>
      <c r="C8" s="7" t="s">
        <v>21</v>
      </c>
      <c r="D8" s="8" t="s">
        <v>22</v>
      </c>
      <c r="E8" s="9" t="s">
        <v>13</v>
      </c>
      <c r="F8" s="10" t="s">
        <v>14</v>
      </c>
      <c r="G8" s="11" t="s">
        <v>23</v>
      </c>
    </row>
    <row r="9" customFormat="false" ht="15" hidden="false" customHeight="false" outlineLevel="0" collapsed="false">
      <c r="A9" s="12" t="n">
        <v>4</v>
      </c>
      <c r="B9" s="13"/>
      <c r="C9" s="14" t="s">
        <v>24</v>
      </c>
      <c r="D9" s="15" t="s">
        <v>25</v>
      </c>
      <c r="E9" s="16" t="s">
        <v>26</v>
      </c>
      <c r="F9" s="18" t="s">
        <v>14</v>
      </c>
      <c r="G9" s="17"/>
    </row>
    <row r="10" customFormat="false" ht="15" hidden="false" customHeight="false" outlineLevel="0" collapsed="false">
      <c r="A10" s="5" t="n">
        <v>5</v>
      </c>
      <c r="B10" s="6"/>
      <c r="C10" s="7" t="s">
        <v>27</v>
      </c>
      <c r="D10" s="8" t="s">
        <v>28</v>
      </c>
      <c r="E10" s="9" t="s">
        <v>26</v>
      </c>
      <c r="F10" s="10" t="s">
        <v>14</v>
      </c>
      <c r="G10" s="11" t="s">
        <v>29</v>
      </c>
    </row>
    <row r="11" customFormat="false" ht="23.85" hidden="false" customHeight="false" outlineLevel="0" collapsed="false">
      <c r="A11" s="12" t="n">
        <v>6</v>
      </c>
      <c r="B11" s="13"/>
      <c r="C11" s="14" t="s">
        <v>30</v>
      </c>
      <c r="D11" s="15" t="s">
        <v>31</v>
      </c>
      <c r="E11" s="16" t="s">
        <v>13</v>
      </c>
      <c r="F11" s="18" t="s">
        <v>14</v>
      </c>
      <c r="G11" s="17" t="s">
        <v>32</v>
      </c>
    </row>
    <row r="12" customFormat="false" ht="15" hidden="false" customHeight="false" outlineLevel="0" collapsed="false">
      <c r="A12" s="5" t="n">
        <v>7</v>
      </c>
      <c r="B12" s="6"/>
      <c r="C12" s="7" t="s">
        <v>33</v>
      </c>
      <c r="D12" s="8" t="s">
        <v>34</v>
      </c>
      <c r="E12" s="9" t="s">
        <v>26</v>
      </c>
      <c r="F12" s="10" t="s">
        <v>14</v>
      </c>
      <c r="G12" s="11"/>
    </row>
    <row r="13" customFormat="false" ht="15" hidden="false" customHeight="false" outlineLevel="0" collapsed="false">
      <c r="A13" s="12" t="n">
        <v>8</v>
      </c>
      <c r="B13" s="13"/>
      <c r="C13" s="14" t="s">
        <v>35</v>
      </c>
      <c r="D13" s="15" t="s">
        <v>36</v>
      </c>
      <c r="E13" s="16" t="s">
        <v>37</v>
      </c>
      <c r="F13" s="19" t="s">
        <v>38</v>
      </c>
      <c r="G13" s="17" t="s">
        <v>39</v>
      </c>
    </row>
    <row r="14" customFormat="false" ht="15" hidden="false" customHeight="false" outlineLevel="0" collapsed="false">
      <c r="A14" s="5" t="n">
        <v>9</v>
      </c>
      <c r="B14" s="6" t="s">
        <v>40</v>
      </c>
      <c r="C14" s="7" t="s">
        <v>41</v>
      </c>
      <c r="D14" s="8" t="s">
        <v>42</v>
      </c>
      <c r="E14" s="9" t="s">
        <v>26</v>
      </c>
      <c r="F14" s="10" t="s">
        <v>14</v>
      </c>
      <c r="G14" s="11"/>
    </row>
    <row r="15" customFormat="false" ht="15" hidden="false" customHeight="false" outlineLevel="0" collapsed="false">
      <c r="A15" s="12" t="n">
        <v>10</v>
      </c>
      <c r="B15" s="13"/>
      <c r="C15" s="14" t="s">
        <v>43</v>
      </c>
      <c r="D15" s="15" t="s">
        <v>44</v>
      </c>
      <c r="E15" s="16" t="s">
        <v>26</v>
      </c>
      <c r="F15" s="18" t="s">
        <v>14</v>
      </c>
      <c r="G15" s="17" t="s">
        <v>45</v>
      </c>
    </row>
    <row r="16" customFormat="false" ht="23.85" hidden="false" customHeight="false" outlineLevel="0" collapsed="false">
      <c r="A16" s="5" t="n">
        <v>11</v>
      </c>
      <c r="B16" s="6"/>
      <c r="C16" s="7" t="s">
        <v>46</v>
      </c>
      <c r="D16" s="8" t="s">
        <v>47</v>
      </c>
      <c r="E16" s="9" t="s">
        <v>48</v>
      </c>
      <c r="F16" s="10" t="s">
        <v>14</v>
      </c>
      <c r="G16" s="11" t="s">
        <v>49</v>
      </c>
    </row>
    <row r="17" customFormat="false" ht="15" hidden="false" customHeight="false" outlineLevel="0" collapsed="false">
      <c r="A17" s="12" t="n">
        <v>12</v>
      </c>
      <c r="B17" s="13"/>
      <c r="C17" s="14" t="s">
        <v>50</v>
      </c>
      <c r="D17" s="15" t="s">
        <v>51</v>
      </c>
      <c r="E17" s="16" t="s">
        <v>37</v>
      </c>
      <c r="F17" s="19" t="s">
        <v>38</v>
      </c>
      <c r="G17" s="17" t="s">
        <v>52</v>
      </c>
    </row>
    <row r="18" customFormat="false" ht="15" hidden="false" customHeight="false" outlineLevel="0" collapsed="false">
      <c r="A18" s="5" t="n">
        <v>13</v>
      </c>
      <c r="B18" s="6"/>
      <c r="C18" s="7" t="s">
        <v>53</v>
      </c>
      <c r="D18" s="8" t="s">
        <v>54</v>
      </c>
      <c r="E18" s="9" t="s">
        <v>55</v>
      </c>
      <c r="F18" s="5" t="s">
        <v>56</v>
      </c>
      <c r="G18" s="11" t="s">
        <v>57</v>
      </c>
    </row>
    <row r="19" customFormat="false" ht="15" hidden="false" customHeight="false" outlineLevel="0" collapsed="false">
      <c r="A19" s="12" t="n">
        <v>14</v>
      </c>
      <c r="B19" s="13" t="s">
        <v>58</v>
      </c>
      <c r="C19" s="14" t="s">
        <v>59</v>
      </c>
      <c r="D19" s="15" t="s">
        <v>60</v>
      </c>
      <c r="E19" s="16" t="s">
        <v>48</v>
      </c>
      <c r="F19" s="18" t="s">
        <v>14</v>
      </c>
      <c r="G19" s="17"/>
    </row>
    <row r="20" customFormat="false" ht="15" hidden="false" customHeight="false" outlineLevel="0" collapsed="false">
      <c r="A20" s="5" t="n">
        <v>15</v>
      </c>
      <c r="B20" s="6"/>
      <c r="C20" s="7" t="s">
        <v>61</v>
      </c>
      <c r="D20" s="8" t="s">
        <v>62</v>
      </c>
      <c r="E20" s="9" t="s">
        <v>48</v>
      </c>
      <c r="F20" s="10" t="s">
        <v>14</v>
      </c>
      <c r="G20" s="11" t="s">
        <v>63</v>
      </c>
    </row>
    <row r="21" customFormat="false" ht="23.85" hidden="false" customHeight="false" outlineLevel="0" collapsed="false">
      <c r="A21" s="12" t="n">
        <v>16</v>
      </c>
      <c r="B21" s="13"/>
      <c r="C21" s="14" t="s">
        <v>64</v>
      </c>
      <c r="D21" s="15" t="s">
        <v>65</v>
      </c>
      <c r="E21" s="16" t="s">
        <v>48</v>
      </c>
      <c r="F21" s="18" t="s">
        <v>14</v>
      </c>
      <c r="G21" s="17" t="s">
        <v>66</v>
      </c>
    </row>
    <row r="22" customFormat="false" ht="15" hidden="false" customHeight="false" outlineLevel="0" collapsed="false">
      <c r="A22" s="5" t="n">
        <v>17</v>
      </c>
      <c r="B22" s="6"/>
      <c r="C22" s="7" t="s">
        <v>67</v>
      </c>
      <c r="D22" s="8" t="s">
        <v>68</v>
      </c>
      <c r="E22" s="9" t="s">
        <v>48</v>
      </c>
      <c r="F22" s="10" t="s">
        <v>14</v>
      </c>
      <c r="G22" s="11"/>
    </row>
    <row r="23" customFormat="false" ht="15" hidden="false" customHeight="false" outlineLevel="0" collapsed="false">
      <c r="A23" s="12" t="n">
        <v>18</v>
      </c>
      <c r="B23" s="13"/>
      <c r="C23" s="14" t="s">
        <v>69</v>
      </c>
      <c r="D23" s="15" t="s">
        <v>70</v>
      </c>
      <c r="E23" s="16" t="s">
        <v>48</v>
      </c>
      <c r="F23" s="18" t="s">
        <v>14</v>
      </c>
      <c r="G23" s="17"/>
    </row>
    <row r="24" customFormat="false" ht="23.85" hidden="false" customHeight="false" outlineLevel="0" collapsed="false">
      <c r="A24" s="5" t="n">
        <v>19</v>
      </c>
      <c r="B24" s="6"/>
      <c r="C24" s="7" t="s">
        <v>71</v>
      </c>
      <c r="D24" s="8" t="s">
        <v>72</v>
      </c>
      <c r="E24" s="9" t="s">
        <v>48</v>
      </c>
      <c r="F24" s="10" t="s">
        <v>14</v>
      </c>
      <c r="G24" s="11" t="s">
        <v>73</v>
      </c>
    </row>
    <row r="25" customFormat="false" ht="15" hidden="false" customHeight="false" outlineLevel="0" collapsed="false">
      <c r="A25" s="12" t="n">
        <v>20</v>
      </c>
      <c r="B25" s="13"/>
      <c r="C25" s="14" t="s">
        <v>74</v>
      </c>
      <c r="D25" s="15" t="s">
        <v>75</v>
      </c>
      <c r="E25" s="16" t="s">
        <v>48</v>
      </c>
      <c r="F25" s="18" t="s">
        <v>14</v>
      </c>
      <c r="G25" s="17"/>
    </row>
    <row r="26" customFormat="false" ht="15" hidden="false" customHeight="false" outlineLevel="0" collapsed="false">
      <c r="A26" s="5" t="n">
        <v>21</v>
      </c>
      <c r="B26" s="6"/>
      <c r="C26" s="7" t="s">
        <v>76</v>
      </c>
      <c r="D26" s="8" t="s">
        <v>77</v>
      </c>
      <c r="E26" s="9" t="s">
        <v>37</v>
      </c>
      <c r="F26" s="20" t="s">
        <v>38</v>
      </c>
      <c r="G26" s="11" t="s">
        <v>78</v>
      </c>
    </row>
    <row r="27" customFormat="false" ht="23.85" hidden="false" customHeight="false" outlineLevel="0" collapsed="false">
      <c r="A27" s="12" t="n">
        <v>22</v>
      </c>
      <c r="B27" s="13" t="s">
        <v>79</v>
      </c>
      <c r="C27" s="14" t="s">
        <v>80</v>
      </c>
      <c r="D27" s="15" t="s">
        <v>81</v>
      </c>
      <c r="E27" s="16" t="s">
        <v>13</v>
      </c>
      <c r="F27" s="18" t="s">
        <v>14</v>
      </c>
      <c r="G27" s="17" t="s">
        <v>82</v>
      </c>
    </row>
    <row r="28" customFormat="false" ht="15" hidden="false" customHeight="false" outlineLevel="0" collapsed="false">
      <c r="A28" s="5" t="n">
        <v>23</v>
      </c>
      <c r="B28" s="6"/>
      <c r="C28" s="7" t="s">
        <v>83</v>
      </c>
      <c r="D28" s="8" t="s">
        <v>84</v>
      </c>
      <c r="E28" s="9" t="s">
        <v>13</v>
      </c>
      <c r="F28" s="10" t="s">
        <v>14</v>
      </c>
      <c r="G28" s="11" t="s">
        <v>85</v>
      </c>
    </row>
    <row r="29" customFormat="false" ht="15" hidden="false" customHeight="false" outlineLevel="0" collapsed="false">
      <c r="A29" s="12" t="n">
        <v>24</v>
      </c>
      <c r="B29" s="13"/>
      <c r="C29" s="14" t="s">
        <v>86</v>
      </c>
      <c r="D29" s="15" t="s">
        <v>87</v>
      </c>
      <c r="E29" s="16" t="s">
        <v>13</v>
      </c>
      <c r="F29" s="18" t="s">
        <v>14</v>
      </c>
      <c r="G29" s="17"/>
    </row>
    <row r="30" customFormat="false" ht="15" hidden="false" customHeight="false" outlineLevel="0" collapsed="false">
      <c r="A30" s="5" t="n">
        <v>25</v>
      </c>
      <c r="B30" s="6"/>
      <c r="C30" s="7" t="s">
        <v>88</v>
      </c>
      <c r="D30" s="8" t="s">
        <v>89</v>
      </c>
      <c r="E30" s="9" t="s">
        <v>13</v>
      </c>
      <c r="F30" s="10" t="s">
        <v>14</v>
      </c>
      <c r="G30" s="11"/>
    </row>
    <row r="31" customFormat="false" ht="15" hidden="false" customHeight="false" outlineLevel="0" collapsed="false">
      <c r="A31" s="12" t="s">
        <v>90</v>
      </c>
      <c r="B31" s="13" t="s">
        <v>91</v>
      </c>
      <c r="C31" s="14" t="s">
        <v>92</v>
      </c>
      <c r="D31" s="15" t="s">
        <v>93</v>
      </c>
      <c r="E31" s="16" t="s">
        <v>94</v>
      </c>
      <c r="F31" s="18" t="s">
        <v>14</v>
      </c>
      <c r="G31" s="17" t="s">
        <v>95</v>
      </c>
    </row>
    <row r="32" customFormat="false" ht="15" hidden="false" customHeight="false" outlineLevel="0" collapsed="false">
      <c r="A32" s="5" t="s">
        <v>96</v>
      </c>
      <c r="B32" s="6"/>
      <c r="C32" s="7" t="s">
        <v>97</v>
      </c>
      <c r="D32" s="8" t="s">
        <v>98</v>
      </c>
      <c r="E32" s="9" t="s">
        <v>94</v>
      </c>
      <c r="F32" s="10" t="s">
        <v>14</v>
      </c>
      <c r="G32" s="11" t="s">
        <v>99</v>
      </c>
    </row>
    <row r="33" customFormat="false" ht="15" hidden="false" customHeight="false" outlineLevel="0" collapsed="false">
      <c r="A33" s="12" t="s">
        <v>100</v>
      </c>
      <c r="B33" s="13"/>
      <c r="C33" s="14" t="s">
        <v>101</v>
      </c>
      <c r="D33" s="15" t="s">
        <v>102</v>
      </c>
      <c r="E33" s="16" t="s">
        <v>94</v>
      </c>
      <c r="F33" s="18" t="s">
        <v>14</v>
      </c>
      <c r="G33" s="17" t="s">
        <v>103</v>
      </c>
    </row>
    <row r="34" customFormat="false" ht="15" hidden="false" customHeight="false" outlineLevel="0" collapsed="false">
      <c r="A34" s="5" t="s">
        <v>104</v>
      </c>
      <c r="B34" s="6"/>
      <c r="C34" s="7" t="s">
        <v>105</v>
      </c>
      <c r="D34" s="8" t="s">
        <v>106</v>
      </c>
      <c r="E34" s="9" t="s">
        <v>94</v>
      </c>
      <c r="F34" s="10" t="s">
        <v>14</v>
      </c>
      <c r="G34" s="11" t="s">
        <v>107</v>
      </c>
    </row>
    <row r="35" customFormat="false" ht="15" hidden="false" customHeight="false" outlineLevel="0" collapsed="false">
      <c r="A35" s="12" t="s">
        <v>108</v>
      </c>
      <c r="B35" s="13"/>
      <c r="C35" s="14" t="s">
        <v>109</v>
      </c>
      <c r="D35" s="15" t="s">
        <v>110</v>
      </c>
      <c r="E35" s="16" t="s">
        <v>94</v>
      </c>
      <c r="F35" s="18" t="s">
        <v>14</v>
      </c>
      <c r="G35" s="17" t="s">
        <v>111</v>
      </c>
    </row>
    <row r="36" customFormat="false" ht="15" hidden="false" customHeight="false" outlineLevel="0" collapsed="false">
      <c r="A36" s="5" t="n">
        <v>27</v>
      </c>
      <c r="B36" s="6" t="s">
        <v>112</v>
      </c>
      <c r="C36" s="7" t="s">
        <v>113</v>
      </c>
      <c r="D36" s="8" t="s">
        <v>114</v>
      </c>
      <c r="E36" s="9" t="s">
        <v>115</v>
      </c>
      <c r="F36" s="5" t="s">
        <v>116</v>
      </c>
      <c r="G36" s="11" t="s">
        <v>117</v>
      </c>
    </row>
    <row r="37" customFormat="false" ht="15" hidden="false" customHeight="false" outlineLevel="0" collapsed="false">
      <c r="A37" s="12" t="n">
        <v>28</v>
      </c>
      <c r="B37" s="13"/>
      <c r="C37" s="14" t="s">
        <v>118</v>
      </c>
      <c r="D37" s="15" t="s">
        <v>119</v>
      </c>
      <c r="E37" s="16" t="s">
        <v>115</v>
      </c>
      <c r="F37" s="19" t="s">
        <v>38</v>
      </c>
      <c r="G37" s="17" t="s">
        <v>120</v>
      </c>
    </row>
    <row r="38" customFormat="false" ht="23.85" hidden="false" customHeight="false" outlineLevel="0" collapsed="false">
      <c r="A38" s="5" t="n">
        <v>29</v>
      </c>
      <c r="B38" s="6"/>
      <c r="C38" s="7" t="s">
        <v>121</v>
      </c>
      <c r="D38" s="8" t="s">
        <v>122</v>
      </c>
      <c r="E38" s="9" t="s">
        <v>115</v>
      </c>
      <c r="F38" s="10" t="s">
        <v>14</v>
      </c>
      <c r="G38" s="11" t="s">
        <v>123</v>
      </c>
    </row>
    <row r="40" customFormat="false" ht="15" hidden="false" customHeight="false" outlineLevel="0" collapsed="false">
      <c r="B40" s="21" t="s">
        <v>124</v>
      </c>
    </row>
    <row r="41" customFormat="false" ht="15" hidden="false" customHeight="false" outlineLevel="0" collapsed="false">
      <c r="B41" s="22" t="s">
        <v>125</v>
      </c>
      <c r="C41" s="23" t="n">
        <f aca="false">COUNTIF($F$6:$F$38,"Ready to build")</f>
        <v>26</v>
      </c>
    </row>
    <row r="42" customFormat="false" ht="15" hidden="false" customHeight="false" outlineLevel="0" collapsed="false">
      <c r="B42" s="22" t="s">
        <v>126</v>
      </c>
      <c r="C42" s="23" t="n">
        <f aca="false">COUNTIF($F$6:$F$38,"Awaiting copy")</f>
        <v>4</v>
      </c>
    </row>
    <row r="43" customFormat="false" ht="15" hidden="false" customHeight="false" outlineLevel="0" collapsed="false">
      <c r="B43" s="22" t="s">
        <v>127</v>
      </c>
      <c r="C43" s="23" t="n">
        <f aca="false">COUNTIF($F$6:$F$38,"Merge two sources")+COUNTIF($F$6:$F$38,"Split from existing page")</f>
        <v>2</v>
      </c>
    </row>
    <row r="44" customFormat="false" ht="15" hidden="false" customHeight="false" outlineLevel="0" collapsed="false">
      <c r="B44" s="22" t="s">
        <v>128</v>
      </c>
      <c r="C44" s="23" t="n">
        <f aca="false">COUNTA($C$6:$C$38)</f>
        <v>33</v>
      </c>
    </row>
    <row r="46" customFormat="false" ht="15" hidden="false" customHeight="false" outlineLevel="0" collapsed="false">
      <c r="B46" s="21" t="s">
        <v>129</v>
      </c>
    </row>
    <row r="47" customFormat="false" ht="15" hidden="false" customHeight="false" outlineLevel="0" collapsed="false">
      <c r="B47" s="24" t="s">
        <v>14</v>
      </c>
      <c r="C47" s="25" t="s">
        <v>130</v>
      </c>
    </row>
    <row r="48" customFormat="false" ht="15" hidden="false" customHeight="false" outlineLevel="0" collapsed="false">
      <c r="B48" s="24" t="s">
        <v>19</v>
      </c>
      <c r="C48" s="25" t="s">
        <v>131</v>
      </c>
    </row>
    <row r="49" customFormat="false" ht="15" hidden="false" customHeight="false" outlineLevel="0" collapsed="false">
      <c r="B49" s="24" t="s">
        <v>56</v>
      </c>
      <c r="C49" s="25" t="s">
        <v>132</v>
      </c>
    </row>
    <row r="50" customFormat="false" ht="15" hidden="false" customHeight="false" outlineLevel="0" collapsed="false">
      <c r="B50" s="24" t="s">
        <v>38</v>
      </c>
      <c r="C50" s="25" t="s">
        <v>133</v>
      </c>
    </row>
    <row r="51" customFormat="false" ht="15" hidden="false" customHeight="false" outlineLevel="0" collapsed="false">
      <c r="B51" s="24" t="s">
        <v>116</v>
      </c>
      <c r="C51" s="25" t="s">
        <v>134</v>
      </c>
    </row>
  </sheetData>
  <autoFilter ref="A5:G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4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2" t="s">
        <v>135</v>
      </c>
    </row>
    <row r="2" customFormat="false" ht="15" hidden="false" customHeight="false" outlineLevel="0" collapsed="false">
      <c r="A2" s="3" t="s">
        <v>136</v>
      </c>
    </row>
    <row r="4" customFormat="false" ht="19.5" hidden="false" customHeight="true" outlineLevel="0" collapsed="false">
      <c r="A4" s="26"/>
      <c r="B4" s="27" t="s">
        <v>137</v>
      </c>
      <c r="C4" s="28" t="s">
        <v>138</v>
      </c>
    </row>
    <row r="5" customFormat="false" ht="19.5" hidden="false" customHeight="true" outlineLevel="0" collapsed="false">
      <c r="A5" s="26"/>
      <c r="B5" s="27" t="s">
        <v>139</v>
      </c>
      <c r="C5" s="28" t="s">
        <v>140</v>
      </c>
    </row>
    <row r="6" customFormat="false" ht="18.75" hidden="false" customHeight="true" outlineLevel="0" collapsed="false">
      <c r="B6" s="29" t="s">
        <v>10</v>
      </c>
      <c r="C6" s="28"/>
    </row>
    <row r="7" customFormat="false" ht="15" hidden="false" customHeight="false" outlineLevel="0" collapsed="false">
      <c r="B7" s="30" t="s">
        <v>11</v>
      </c>
      <c r="C7" s="28"/>
    </row>
    <row r="8" customFormat="false" ht="15" hidden="false" customHeight="false" outlineLevel="0" collapsed="false">
      <c r="B8" s="30" t="s">
        <v>16</v>
      </c>
      <c r="C8" s="28" t="s">
        <v>141</v>
      </c>
    </row>
    <row r="9" customFormat="false" ht="15" hidden="false" customHeight="false" outlineLevel="0" collapsed="false">
      <c r="B9" s="30" t="s">
        <v>21</v>
      </c>
      <c r="C9" s="28"/>
    </row>
    <row r="10" customFormat="false" ht="15" hidden="false" customHeight="false" outlineLevel="0" collapsed="false">
      <c r="B10" s="30" t="s">
        <v>24</v>
      </c>
      <c r="C10" s="28"/>
    </row>
    <row r="11" customFormat="false" ht="15" hidden="false" customHeight="false" outlineLevel="0" collapsed="false">
      <c r="B11" s="30" t="s">
        <v>27</v>
      </c>
      <c r="C11" s="28"/>
    </row>
    <row r="12" customFormat="false" ht="15" hidden="false" customHeight="false" outlineLevel="0" collapsed="false">
      <c r="B12" s="30" t="s">
        <v>30</v>
      </c>
      <c r="C12" s="28" t="s">
        <v>142</v>
      </c>
    </row>
    <row r="13" customFormat="false" ht="15" hidden="false" customHeight="false" outlineLevel="0" collapsed="false">
      <c r="B13" s="30" t="s">
        <v>33</v>
      </c>
      <c r="C13" s="28"/>
    </row>
    <row r="14" customFormat="false" ht="15" hidden="false" customHeight="false" outlineLevel="0" collapsed="false">
      <c r="B14" s="30" t="s">
        <v>35</v>
      </c>
      <c r="C14" s="28" t="s">
        <v>38</v>
      </c>
    </row>
    <row r="15" customFormat="false" ht="18.75" hidden="false" customHeight="true" outlineLevel="0" collapsed="false">
      <c r="B15" s="29" t="s">
        <v>40</v>
      </c>
      <c r="C15" s="28"/>
    </row>
    <row r="16" customFormat="false" ht="15" hidden="false" customHeight="false" outlineLevel="0" collapsed="false">
      <c r="B16" s="30" t="s">
        <v>41</v>
      </c>
      <c r="C16" s="28"/>
    </row>
    <row r="17" customFormat="false" ht="15" hidden="false" customHeight="false" outlineLevel="0" collapsed="false">
      <c r="B17" s="30" t="s">
        <v>43</v>
      </c>
      <c r="C17" s="28"/>
    </row>
    <row r="18" customFormat="false" ht="15" hidden="false" customHeight="false" outlineLevel="0" collapsed="false">
      <c r="B18" s="30" t="s">
        <v>46</v>
      </c>
      <c r="C18" s="28" t="s">
        <v>143</v>
      </c>
    </row>
    <row r="19" customFormat="false" ht="15" hidden="false" customHeight="false" outlineLevel="0" collapsed="false">
      <c r="B19" s="30" t="s">
        <v>50</v>
      </c>
      <c r="C19" s="28" t="s">
        <v>38</v>
      </c>
    </row>
    <row r="20" customFormat="false" ht="15" hidden="false" customHeight="false" outlineLevel="0" collapsed="false">
      <c r="B20" s="30" t="s">
        <v>53</v>
      </c>
      <c r="C20" s="28" t="s">
        <v>144</v>
      </c>
    </row>
    <row r="21" customFormat="false" ht="18.75" hidden="false" customHeight="true" outlineLevel="0" collapsed="false">
      <c r="B21" s="29" t="s">
        <v>58</v>
      </c>
      <c r="C21" s="28"/>
    </row>
    <row r="22" customFormat="false" ht="15" hidden="false" customHeight="false" outlineLevel="0" collapsed="false">
      <c r="B22" s="30" t="s">
        <v>59</v>
      </c>
      <c r="C22" s="28"/>
    </row>
    <row r="23" customFormat="false" ht="15" hidden="false" customHeight="false" outlineLevel="0" collapsed="false">
      <c r="B23" s="30" t="s">
        <v>61</v>
      </c>
      <c r="C23" s="28"/>
    </row>
    <row r="24" customFormat="false" ht="15" hidden="false" customHeight="false" outlineLevel="0" collapsed="false">
      <c r="B24" s="30" t="s">
        <v>64</v>
      </c>
      <c r="C24" s="28" t="s">
        <v>145</v>
      </c>
    </row>
    <row r="25" customFormat="false" ht="15" hidden="false" customHeight="false" outlineLevel="0" collapsed="false">
      <c r="B25" s="30" t="s">
        <v>67</v>
      </c>
      <c r="C25" s="28"/>
    </row>
    <row r="26" customFormat="false" ht="15" hidden="false" customHeight="false" outlineLevel="0" collapsed="false">
      <c r="B26" s="30" t="s">
        <v>69</v>
      </c>
      <c r="C26" s="28"/>
    </row>
    <row r="27" customFormat="false" ht="15" hidden="false" customHeight="false" outlineLevel="0" collapsed="false">
      <c r="B27" s="30" t="s">
        <v>71</v>
      </c>
      <c r="C27" s="28"/>
    </row>
    <row r="28" customFormat="false" ht="15" hidden="false" customHeight="false" outlineLevel="0" collapsed="false">
      <c r="B28" s="30" t="s">
        <v>74</v>
      </c>
      <c r="C28" s="28"/>
    </row>
    <row r="29" customFormat="false" ht="15" hidden="false" customHeight="false" outlineLevel="0" collapsed="false">
      <c r="B29" s="30" t="s">
        <v>76</v>
      </c>
      <c r="C29" s="28" t="s">
        <v>146</v>
      </c>
    </row>
    <row r="30" customFormat="false" ht="19.5" hidden="false" customHeight="true" outlineLevel="0" collapsed="false">
      <c r="A30" s="26"/>
      <c r="B30" s="27" t="s">
        <v>147</v>
      </c>
      <c r="C30" s="28" t="s">
        <v>148</v>
      </c>
    </row>
    <row r="31" customFormat="false" ht="15" hidden="false" customHeight="false" outlineLevel="0" collapsed="false">
      <c r="B31" s="30" t="s">
        <v>80</v>
      </c>
      <c r="C31" s="28" t="s">
        <v>149</v>
      </c>
    </row>
    <row r="32" customFormat="false" ht="15" hidden="false" customHeight="false" outlineLevel="0" collapsed="false">
      <c r="B32" s="30" t="s">
        <v>83</v>
      </c>
      <c r="C32" s="28" t="s">
        <v>150</v>
      </c>
    </row>
    <row r="33" customFormat="false" ht="15" hidden="false" customHeight="false" outlineLevel="0" collapsed="false">
      <c r="B33" s="30" t="s">
        <v>86</v>
      </c>
      <c r="C33" s="28"/>
    </row>
    <row r="34" customFormat="false" ht="15" hidden="false" customHeight="false" outlineLevel="0" collapsed="false">
      <c r="B34" s="30" t="s">
        <v>88</v>
      </c>
      <c r="C34" s="28"/>
    </row>
    <row r="35" customFormat="false" ht="19.5" hidden="false" customHeight="true" outlineLevel="0" collapsed="false">
      <c r="A35" s="26"/>
      <c r="B35" s="27" t="s">
        <v>151</v>
      </c>
      <c r="C35" s="28" t="s">
        <v>152</v>
      </c>
    </row>
    <row r="36" customFormat="false" ht="15" hidden="false" customHeight="false" outlineLevel="0" collapsed="false">
      <c r="B36" s="30" t="s">
        <v>92</v>
      </c>
      <c r="C36" s="28" t="s">
        <v>153</v>
      </c>
    </row>
    <row r="37" customFormat="false" ht="15" hidden="false" customHeight="false" outlineLevel="0" collapsed="false">
      <c r="B37" s="30" t="s">
        <v>97</v>
      </c>
      <c r="C37" s="28" t="s">
        <v>154</v>
      </c>
    </row>
    <row r="38" customFormat="false" ht="15" hidden="false" customHeight="false" outlineLevel="0" collapsed="false">
      <c r="B38" s="30" t="s">
        <v>101</v>
      </c>
      <c r="C38" s="28" t="s">
        <v>155</v>
      </c>
    </row>
    <row r="39" customFormat="false" ht="15" hidden="false" customHeight="false" outlineLevel="0" collapsed="false">
      <c r="B39" s="30" t="s">
        <v>105</v>
      </c>
      <c r="C39" s="28" t="s">
        <v>156</v>
      </c>
    </row>
    <row r="40" customFormat="false" ht="15" hidden="false" customHeight="false" outlineLevel="0" collapsed="false">
      <c r="B40" s="30" t="s">
        <v>109</v>
      </c>
      <c r="C40" s="28" t="s">
        <v>157</v>
      </c>
    </row>
    <row r="41" customFormat="false" ht="19.5" hidden="false" customHeight="true" outlineLevel="0" collapsed="false">
      <c r="A41" s="26"/>
      <c r="B41" s="27" t="s">
        <v>158</v>
      </c>
      <c r="C41" s="28" t="s">
        <v>159</v>
      </c>
    </row>
    <row r="42" customFormat="false" ht="19.5" hidden="false" customHeight="true" outlineLevel="0" collapsed="false">
      <c r="A42" s="26"/>
      <c r="B42" s="27" t="s">
        <v>160</v>
      </c>
      <c r="C42" s="28" t="s">
        <v>161</v>
      </c>
    </row>
    <row r="43" customFormat="false" ht="19.5" hidden="false" customHeight="true" outlineLevel="0" collapsed="false">
      <c r="A43" s="26"/>
      <c r="B43" s="27" t="s">
        <v>162</v>
      </c>
      <c r="C43" s="2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2" t="s">
        <v>164</v>
      </c>
    </row>
    <row r="2" customFormat="false" ht="15" hidden="false" customHeight="false" outlineLevel="0" collapsed="false">
      <c r="A2" s="3" t="s">
        <v>165</v>
      </c>
    </row>
    <row r="4" customFormat="false" ht="25.5" hidden="false" customHeight="true" outlineLevel="0" collapsed="false">
      <c r="A4" s="4" t="s">
        <v>166</v>
      </c>
      <c r="B4" s="4" t="s">
        <v>167</v>
      </c>
      <c r="C4" s="4" t="s">
        <v>168</v>
      </c>
      <c r="D4" s="4" t="s">
        <v>169</v>
      </c>
    </row>
    <row r="5" customFormat="false" ht="35.05" hidden="false" customHeight="false" outlineLevel="0" collapsed="false">
      <c r="A5" s="31" t="s">
        <v>170</v>
      </c>
      <c r="B5" s="17" t="s">
        <v>171</v>
      </c>
      <c r="C5" s="17" t="s">
        <v>172</v>
      </c>
      <c r="D5" s="32" t="s">
        <v>173</v>
      </c>
    </row>
    <row r="6" customFormat="false" ht="35.05" hidden="false" customHeight="false" outlineLevel="0" collapsed="false">
      <c r="A6" s="33" t="s">
        <v>174</v>
      </c>
      <c r="B6" s="11" t="s">
        <v>175</v>
      </c>
      <c r="C6" s="11" t="s">
        <v>176</v>
      </c>
      <c r="D6" s="34" t="s">
        <v>177</v>
      </c>
    </row>
    <row r="7" customFormat="false" ht="35.05" hidden="false" customHeight="false" outlineLevel="0" collapsed="false">
      <c r="A7" s="31" t="s">
        <v>178</v>
      </c>
      <c r="B7" s="17" t="s">
        <v>179</v>
      </c>
      <c r="C7" s="17" t="s">
        <v>180</v>
      </c>
      <c r="D7" s="32" t="s">
        <v>181</v>
      </c>
    </row>
    <row r="8" customFormat="false" ht="35.05" hidden="false" customHeight="false" outlineLevel="0" collapsed="false">
      <c r="A8" s="33" t="s">
        <v>182</v>
      </c>
      <c r="B8" s="11" t="s">
        <v>183</v>
      </c>
      <c r="C8" s="11" t="s">
        <v>184</v>
      </c>
      <c r="D8" s="34" t="s">
        <v>185</v>
      </c>
    </row>
    <row r="11" customFormat="false" ht="15" hidden="false" customHeight="false" outlineLevel="0" collapsed="false">
      <c r="A11" s="21" t="s">
        <v>186</v>
      </c>
    </row>
    <row r="12" customFormat="false" ht="15" hidden="false" customHeight="false" outlineLevel="0" collapsed="false">
      <c r="A12" s="24" t="s">
        <v>187</v>
      </c>
      <c r="B12" s="25" t="s">
        <v>188</v>
      </c>
    </row>
    <row r="13" customFormat="false" ht="15" hidden="false" customHeight="false" outlineLevel="0" collapsed="false">
      <c r="A13" s="24" t="s">
        <v>189</v>
      </c>
      <c r="B13" s="25" t="s">
        <v>190</v>
      </c>
    </row>
    <row r="14" customFormat="false" ht="15" hidden="false" customHeight="false" outlineLevel="0" collapsed="false">
      <c r="A14" s="24" t="s">
        <v>191</v>
      </c>
      <c r="B14" s="25" t="s">
        <v>192</v>
      </c>
    </row>
    <row r="15" customFormat="false" ht="15" hidden="false" customHeight="false" outlineLevel="0" collapsed="false">
      <c r="A15" s="24" t="s">
        <v>193</v>
      </c>
      <c r="B15" s="25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2026-07-28T13:54:26Z</dcterms:created>
  <dc:creator>openpyxl</dc:creator>
  <dc:description/>
  <dc:language>en-US</dc:language>
  <cp:lastModifiedBy/>
  <dcterms:modified xsi:type="dcterms:W3CDTF">2026-07-28T13:54:26Z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